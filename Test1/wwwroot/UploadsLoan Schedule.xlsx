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intang\Documents\Dokumen dari Client\Project Document\EFI\TEMPLATE FUNDING MASTER\"/>
    </mc:Choice>
  </mc:AlternateContent>
  <xr:revisionPtr revIDLastSave="0" documentId="13_ncr:1_{C792665F-7AF2-40E5-A906-B890FA36B992}" xr6:coauthVersionLast="47" xr6:coauthVersionMax="47" xr10:uidLastSave="{00000000-0000-0000-0000-000000000000}"/>
  <bookViews>
    <workbookView xWindow="-98" yWindow="-98" windowWidth="21795" windowHeight="12975" xr2:uid="{EA869B83-47BD-424F-8BA7-B1A97A5B9E03}"/>
  </bookViews>
  <sheets>
    <sheet name="Template Schedule Irregular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40" i="1" l="1"/>
  <c r="F39" i="1"/>
  <c r="F38" i="1"/>
  <c r="F37" i="1"/>
  <c r="F36" i="1"/>
  <c r="F35" i="1"/>
  <c r="F34" i="1"/>
  <c r="F33" i="1"/>
  <c r="F32" i="1"/>
  <c r="F31" i="1"/>
  <c r="F30" i="1"/>
  <c r="F29" i="1"/>
  <c r="F28" i="1"/>
  <c r="F27" i="1"/>
  <c r="F26" i="1"/>
  <c r="F25" i="1"/>
  <c r="F24" i="1"/>
  <c r="F23" i="1"/>
  <c r="F22" i="1"/>
  <c r="F21" i="1"/>
  <c r="F20" i="1"/>
  <c r="F19" i="1"/>
  <c r="F18" i="1"/>
  <c r="F17" i="1"/>
  <c r="F16" i="1"/>
  <c r="F15" i="1"/>
  <c r="F14" i="1"/>
  <c r="F13" i="1"/>
  <c r="F12" i="1"/>
  <c r="F11" i="1"/>
  <c r="F10" i="1"/>
  <c r="F9" i="1"/>
  <c r="F8" i="1"/>
  <c r="F7" i="1"/>
  <c r="F6" i="1"/>
  <c r="J5" i="1"/>
  <c r="J6" i="1" s="1"/>
  <c r="J7" i="1" s="1"/>
  <c r="J8" i="1" s="1"/>
  <c r="J9" i="1" s="1"/>
  <c r="J10" i="1" s="1"/>
  <c r="J11" i="1" s="1"/>
  <c r="J12" i="1" s="1"/>
  <c r="J13" i="1" s="1"/>
  <c r="J14" i="1" s="1"/>
  <c r="J15" i="1" s="1"/>
  <c r="J16" i="1" s="1"/>
  <c r="J17" i="1" s="1"/>
  <c r="J18" i="1" s="1"/>
  <c r="J19" i="1" s="1"/>
  <c r="J20" i="1" s="1"/>
  <c r="J21" i="1" s="1"/>
  <c r="J22" i="1" s="1"/>
  <c r="J23" i="1" s="1"/>
  <c r="J24" i="1" s="1"/>
  <c r="J25" i="1" s="1"/>
  <c r="J26" i="1" s="1"/>
  <c r="J27" i="1" s="1"/>
  <c r="J28" i="1" s="1"/>
  <c r="J29" i="1" s="1"/>
  <c r="J30" i="1" s="1"/>
  <c r="J31" i="1" s="1"/>
  <c r="J32" i="1" s="1"/>
  <c r="J33" i="1" s="1"/>
  <c r="J34" i="1" s="1"/>
  <c r="J35" i="1" s="1"/>
  <c r="J36" i="1" s="1"/>
  <c r="J37" i="1" s="1"/>
  <c r="J38" i="1" s="1"/>
  <c r="J39" i="1" s="1"/>
  <c r="J40" i="1" s="1"/>
  <c r="I5" i="1"/>
  <c r="I6" i="1" s="1"/>
  <c r="I7" i="1" s="1"/>
  <c r="I8" i="1" s="1"/>
  <c r="I9" i="1" s="1"/>
  <c r="I10" i="1" s="1"/>
  <c r="I11" i="1" s="1"/>
  <c r="I12" i="1" s="1"/>
  <c r="I13" i="1" s="1"/>
  <c r="I14" i="1" s="1"/>
  <c r="I15" i="1" s="1"/>
  <c r="I16" i="1" s="1"/>
  <c r="I17" i="1" s="1"/>
  <c r="I18" i="1" s="1"/>
  <c r="I19" i="1" s="1"/>
  <c r="I20" i="1" s="1"/>
  <c r="I21" i="1" s="1"/>
  <c r="I22" i="1" s="1"/>
  <c r="I23" i="1" s="1"/>
  <c r="I24" i="1" s="1"/>
  <c r="I25" i="1" s="1"/>
  <c r="I26" i="1" s="1"/>
  <c r="I27" i="1" s="1"/>
  <c r="I28" i="1" s="1"/>
  <c r="I29" i="1" s="1"/>
  <c r="I30" i="1" s="1"/>
  <c r="I31" i="1" s="1"/>
  <c r="I32" i="1" s="1"/>
  <c r="I33" i="1" s="1"/>
  <c r="I34" i="1" s="1"/>
  <c r="I35" i="1" s="1"/>
  <c r="I36" i="1" s="1"/>
  <c r="I37" i="1" s="1"/>
  <c r="I38" i="1" s="1"/>
  <c r="I39" i="1" s="1"/>
  <c r="I40" i="1" s="1"/>
  <c r="F5" i="1"/>
  <c r="K5" i="1" s="1"/>
  <c r="K6" i="1" s="1"/>
  <c r="K7" i="1" s="1"/>
  <c r="K8" i="1" s="1"/>
  <c r="K9" i="1" s="1"/>
  <c r="K10" i="1" s="1"/>
  <c r="K11" i="1" s="1"/>
  <c r="K12" i="1" s="1"/>
  <c r="K13" i="1" s="1"/>
  <c r="K14" i="1" s="1"/>
  <c r="K15" i="1" s="1"/>
  <c r="K16" i="1" s="1"/>
  <c r="K17" i="1" s="1"/>
  <c r="K18" i="1" s="1"/>
  <c r="K19" i="1" s="1"/>
  <c r="K20" i="1" s="1"/>
  <c r="K21" i="1" s="1"/>
  <c r="K22" i="1" s="1"/>
  <c r="K23" i="1" s="1"/>
  <c r="K24" i="1" s="1"/>
  <c r="K25" i="1" s="1"/>
  <c r="K26" i="1" s="1"/>
  <c r="K27" i="1" s="1"/>
  <c r="K28" i="1" s="1"/>
  <c r="K29" i="1" s="1"/>
  <c r="K30" i="1" s="1"/>
  <c r="K31" i="1" s="1"/>
  <c r="K32" i="1" s="1"/>
  <c r="K33" i="1" s="1"/>
  <c r="K34" i="1" s="1"/>
  <c r="K35" i="1" s="1"/>
  <c r="K36" i="1" s="1"/>
  <c r="K37" i="1" s="1"/>
  <c r="K38" i="1" s="1"/>
  <c r="K39" i="1" s="1"/>
  <c r="K40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Bintang</author>
  </authors>
  <commentList>
    <comment ref="C3" authorId="0" shapeId="0" xr:uid="{6466479A-493F-4ED2-81DB-FF70EBE9C582}">
      <text>
        <r>
          <rPr>
            <b/>
            <sz val="9"/>
            <color indexed="81"/>
            <rFont val="Tahoma"/>
            <family val="2"/>
          </rPr>
          <t>Bintang:</t>
        </r>
        <r>
          <rPr>
            <sz val="9"/>
            <color indexed="81"/>
            <rFont val="Tahoma"/>
            <family val="2"/>
          </rPr>
          <t xml:space="preserve">
Format wajib dd-MM-
yyyy
contoh : 02-Jan-2025
</t>
        </r>
      </text>
    </comment>
  </commentList>
</comments>
</file>

<file path=xl/sharedStrings.xml><?xml version="1.0" encoding="utf-8"?>
<sst xmlns="http://schemas.openxmlformats.org/spreadsheetml/2006/main" count="52" uniqueCount="15">
  <si>
    <t xml:space="preserve">Contract No : </t>
  </si>
  <si>
    <t>Total Period :</t>
  </si>
  <si>
    <t>Funding No</t>
  </si>
  <si>
    <t>Period</t>
  </si>
  <si>
    <t>Due Date</t>
  </si>
  <si>
    <t>IntPP</t>
  </si>
  <si>
    <t>Payment</t>
  </si>
  <si>
    <t>Rental</t>
  </si>
  <si>
    <t>Interest</t>
  </si>
  <si>
    <t>Principal</t>
  </si>
  <si>
    <t>Outstanding Principal</t>
  </si>
  <si>
    <t>Outstanding Interest</t>
  </si>
  <si>
    <t>Outstading Receivable</t>
  </si>
  <si>
    <t>WHTaxAmount</t>
  </si>
  <si>
    <t>LN/IDS/2025/01/0002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</si>
</sst>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d\-mmm\-yyyy;@"/>
  </numFmts>
  <fonts count="4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2" borderId="0" xfId="0" applyFill="1"/>
    <xf numFmtId="0" fontId="0" fillId="3" borderId="0" xfId="0" applyFill="1" applyAlignment="1">
      <alignment horizontal="right"/>
    </xf>
    <xf numFmtId="3" fontId="0" fillId="0" borderId="0" xfId="0" applyNumberFormat="1"/>
    <xf numFmtId="0" fontId="0" fillId="0" borderId="0" xfId="0" applyFill="1"/>
    <xf numFmtId="164" fontId="0" fillId="0" borderId="0" xfId="0" applyNumberFormat="1"/>
    <xf numFmtId="164" fontId="0" fillId="2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525D00-5591-467D-8788-175DFC02E381}">
  <dimension ref="A1:O40"/>
  <sheetViews>
    <sheetView tabSelected="1" zoomScale="70" zoomScaleNormal="70" workbookViewId="0">
      <selection activeCell="C7" sqref="C7"/>
    </sheetView>
  </sheetViews>
  <sheetFormatPr defaultRowHeight="14.25" x14ac:dyDescent="0.45"/>
  <cols>
    <col min="1" max="1" width="28.59765625" bestFit="1" customWidth="1"/>
    <col min="2" max="2" width="20.3984375" bestFit="1" customWidth="1"/>
    <col min="3" max="3" width="11.6640625" style="5" bestFit="1" customWidth="1"/>
    <col min="5" max="5" width="13.1328125" customWidth="1"/>
    <col min="6" max="6" width="11.3984375" customWidth="1"/>
    <col min="7" max="7" width="16.265625" customWidth="1"/>
    <col min="8" max="8" width="16.86328125" customWidth="1"/>
    <col min="9" max="9" width="13.59765625" customWidth="1"/>
    <col min="10" max="10" width="13.73046875" customWidth="1"/>
    <col min="11" max="11" width="16.73046875" customWidth="1"/>
    <col min="12" max="12" width="16.86328125" customWidth="1"/>
  </cols>
  <sheetData>
    <row r="1" spans="1:15" x14ac:dyDescent="0.45">
      <c r="A1" s="2" t="s">
        <v>0</v>
      </c>
      <c r="B1" t="s">
        <v>14</v>
      </c>
    </row>
    <row r="2" spans="1:15" x14ac:dyDescent="0.45">
      <c r="A2" s="2" t="s">
        <v>1</v>
      </c>
      <c r="B2">
        <v>36</v>
      </c>
    </row>
    <row r="3" spans="1:15" x14ac:dyDescent="0.45">
      <c r="A3" s="1" t="s">
        <v>2</v>
      </c>
      <c r="B3" s="1" t="s">
        <v>3</v>
      </c>
      <c r="C3" s="6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12</v>
      </c>
      <c r="L3" s="1" t="s">
        <v>13</v>
      </c>
    </row>
    <row r="4" spans="1:15" x14ac:dyDescent="0.45">
      <c r="A4" t="s">
        <v>14</v>
      </c>
      <c r="B4">
        <v>0</v>
      </c>
      <c r="C4" s="5">
        <v>45966</v>
      </c>
      <c r="D4">
        <v>0</v>
      </c>
      <c r="E4">
        <v>0</v>
      </c>
      <c r="F4">
        <v>0</v>
      </c>
      <c r="G4">
        <v>0</v>
      </c>
      <c r="H4">
        <v>0</v>
      </c>
      <c r="I4" s="3">
        <v>10000000</v>
      </c>
      <c r="J4" s="3">
        <v>3392000</v>
      </c>
      <c r="K4" s="3">
        <v>13392000</v>
      </c>
      <c r="L4" s="3">
        <v>0</v>
      </c>
      <c r="M4" s="4"/>
      <c r="N4" s="4"/>
      <c r="O4" s="4"/>
    </row>
    <row r="5" spans="1:15" x14ac:dyDescent="0.45">
      <c r="A5" t="s">
        <v>14</v>
      </c>
      <c r="B5">
        <v>1</v>
      </c>
      <c r="C5" s="5">
        <v>45996</v>
      </c>
      <c r="D5">
        <v>1.6726213999999999</v>
      </c>
      <c r="E5">
        <v>0</v>
      </c>
      <c r="F5">
        <f>SUM(G5:H5)</f>
        <v>372000</v>
      </c>
      <c r="G5">
        <v>167262</v>
      </c>
      <c r="H5">
        <v>204738</v>
      </c>
      <c r="I5">
        <f>I4-H5</f>
        <v>9795262</v>
      </c>
      <c r="J5" s="3">
        <f>J4-G5</f>
        <v>3224738</v>
      </c>
      <c r="K5" s="3">
        <f>K4-F5</f>
        <v>13020000</v>
      </c>
      <c r="L5" s="3">
        <v>0</v>
      </c>
    </row>
    <row r="6" spans="1:15" x14ac:dyDescent="0.45">
      <c r="A6" t="s">
        <v>14</v>
      </c>
      <c r="B6">
        <v>2</v>
      </c>
      <c r="C6" s="5">
        <v>46027</v>
      </c>
      <c r="D6">
        <v>1.6726213999999999</v>
      </c>
      <c r="E6">
        <v>0</v>
      </c>
      <c r="F6">
        <f t="shared" ref="F6:F40" si="0">SUM(G6:H6)</f>
        <v>372000</v>
      </c>
      <c r="G6">
        <v>163838</v>
      </c>
      <c r="H6">
        <v>208162</v>
      </c>
      <c r="I6">
        <f t="shared" ref="I6:I40" si="1">I5-H6</f>
        <v>9587100</v>
      </c>
      <c r="J6" s="3">
        <f t="shared" ref="J6:J40" si="2">J5-G6</f>
        <v>3060900</v>
      </c>
      <c r="K6" s="3">
        <f t="shared" ref="K6:K40" si="3">K5-F6</f>
        <v>12648000</v>
      </c>
      <c r="L6" s="3">
        <v>0</v>
      </c>
    </row>
    <row r="7" spans="1:15" x14ac:dyDescent="0.45">
      <c r="A7" t="s">
        <v>14</v>
      </c>
      <c r="B7">
        <v>3</v>
      </c>
      <c r="C7" s="5">
        <v>46058</v>
      </c>
      <c r="D7">
        <v>1.6726213999999999</v>
      </c>
      <c r="E7">
        <v>0</v>
      </c>
      <c r="F7">
        <f t="shared" si="0"/>
        <v>372000</v>
      </c>
      <c r="G7">
        <v>160356</v>
      </c>
      <c r="H7">
        <v>211644</v>
      </c>
      <c r="I7">
        <f t="shared" si="1"/>
        <v>9375456</v>
      </c>
      <c r="J7" s="3">
        <f t="shared" si="2"/>
        <v>2900544</v>
      </c>
      <c r="K7" s="3">
        <f t="shared" si="3"/>
        <v>12276000</v>
      </c>
      <c r="L7" s="3">
        <v>0</v>
      </c>
    </row>
    <row r="8" spans="1:15" x14ac:dyDescent="0.45">
      <c r="A8" t="s">
        <v>14</v>
      </c>
      <c r="B8">
        <v>4</v>
      </c>
      <c r="C8" s="5">
        <v>46086</v>
      </c>
      <c r="D8">
        <v>1.6726213999999999</v>
      </c>
      <c r="E8">
        <v>0</v>
      </c>
      <c r="F8">
        <f t="shared" si="0"/>
        <v>372000</v>
      </c>
      <c r="G8">
        <v>156816</v>
      </c>
      <c r="H8">
        <v>215184</v>
      </c>
      <c r="I8">
        <f t="shared" si="1"/>
        <v>9160272</v>
      </c>
      <c r="J8" s="3">
        <f t="shared" si="2"/>
        <v>2743728</v>
      </c>
      <c r="K8" s="3">
        <f t="shared" si="3"/>
        <v>11904000</v>
      </c>
      <c r="L8" s="3">
        <v>0</v>
      </c>
    </row>
    <row r="9" spans="1:15" x14ac:dyDescent="0.45">
      <c r="A9" t="s">
        <v>14</v>
      </c>
      <c r="B9">
        <v>5</v>
      </c>
      <c r="C9" s="5">
        <v>46117</v>
      </c>
      <c r="D9">
        <v>1.6726213999999999</v>
      </c>
      <c r="E9">
        <v>0</v>
      </c>
      <c r="F9">
        <f t="shared" si="0"/>
        <v>372000</v>
      </c>
      <c r="G9">
        <v>153217</v>
      </c>
      <c r="H9">
        <v>218783</v>
      </c>
      <c r="I9">
        <f t="shared" si="1"/>
        <v>8941489</v>
      </c>
      <c r="J9" s="3">
        <f t="shared" si="2"/>
        <v>2590511</v>
      </c>
      <c r="K9" s="3">
        <f t="shared" si="3"/>
        <v>11532000</v>
      </c>
      <c r="L9" s="3">
        <v>0</v>
      </c>
    </row>
    <row r="10" spans="1:15" x14ac:dyDescent="0.45">
      <c r="A10" t="s">
        <v>14</v>
      </c>
      <c r="B10">
        <v>6</v>
      </c>
      <c r="C10" s="5">
        <v>46147</v>
      </c>
      <c r="D10">
        <v>1.6726213999999999</v>
      </c>
      <c r="E10">
        <v>0</v>
      </c>
      <c r="F10">
        <f t="shared" si="0"/>
        <v>372000</v>
      </c>
      <c r="G10">
        <v>149557</v>
      </c>
      <c r="H10">
        <v>222443</v>
      </c>
      <c r="I10">
        <f t="shared" si="1"/>
        <v>8719046</v>
      </c>
      <c r="J10" s="3">
        <f t="shared" si="2"/>
        <v>2440954</v>
      </c>
      <c r="K10" s="3">
        <f t="shared" si="3"/>
        <v>11160000</v>
      </c>
      <c r="L10" s="3">
        <v>0</v>
      </c>
    </row>
    <row r="11" spans="1:15" x14ac:dyDescent="0.45">
      <c r="A11" t="s">
        <v>14</v>
      </c>
      <c r="B11">
        <v>7</v>
      </c>
      <c r="C11" s="5">
        <v>46178</v>
      </c>
      <c r="D11">
        <v>1.6726213999999999</v>
      </c>
      <c r="E11">
        <v>0</v>
      </c>
      <c r="F11">
        <f t="shared" si="0"/>
        <v>372000</v>
      </c>
      <c r="G11">
        <v>145837</v>
      </c>
      <c r="H11">
        <v>226163</v>
      </c>
      <c r="I11">
        <f t="shared" si="1"/>
        <v>8492883</v>
      </c>
      <c r="J11" s="3">
        <f t="shared" si="2"/>
        <v>2295117</v>
      </c>
      <c r="K11" s="3">
        <f t="shared" si="3"/>
        <v>10788000</v>
      </c>
      <c r="L11" s="3">
        <v>0</v>
      </c>
    </row>
    <row r="12" spans="1:15" x14ac:dyDescent="0.45">
      <c r="A12" t="s">
        <v>14</v>
      </c>
      <c r="B12">
        <v>8</v>
      </c>
      <c r="C12" s="5">
        <v>46208</v>
      </c>
      <c r="D12">
        <v>1.6726213999999999</v>
      </c>
      <c r="E12">
        <v>0</v>
      </c>
      <c r="F12">
        <f t="shared" si="0"/>
        <v>372000</v>
      </c>
      <c r="G12">
        <v>142054</v>
      </c>
      <c r="H12">
        <v>229946</v>
      </c>
      <c r="I12">
        <f t="shared" si="1"/>
        <v>8262937</v>
      </c>
      <c r="J12" s="3">
        <f t="shared" si="2"/>
        <v>2153063</v>
      </c>
      <c r="K12" s="3">
        <f t="shared" si="3"/>
        <v>10416000</v>
      </c>
      <c r="L12" s="3">
        <v>0</v>
      </c>
    </row>
    <row r="13" spans="1:15" x14ac:dyDescent="0.45">
      <c r="A13" t="s">
        <v>14</v>
      </c>
      <c r="B13">
        <v>9</v>
      </c>
      <c r="C13" s="5">
        <v>46239</v>
      </c>
      <c r="D13">
        <v>1.6726213999999999</v>
      </c>
      <c r="E13">
        <v>0</v>
      </c>
      <c r="F13">
        <f t="shared" si="0"/>
        <v>372000</v>
      </c>
      <c r="G13">
        <v>138208</v>
      </c>
      <c r="H13">
        <v>233792</v>
      </c>
      <c r="I13">
        <f t="shared" si="1"/>
        <v>8029145</v>
      </c>
      <c r="J13" s="3">
        <f t="shared" si="2"/>
        <v>2014855</v>
      </c>
      <c r="K13" s="3">
        <f t="shared" si="3"/>
        <v>10044000</v>
      </c>
      <c r="L13" s="3">
        <v>0</v>
      </c>
    </row>
    <row r="14" spans="1:15" x14ac:dyDescent="0.45">
      <c r="A14" t="s">
        <v>14</v>
      </c>
      <c r="B14">
        <v>10</v>
      </c>
      <c r="C14" s="5">
        <v>46270</v>
      </c>
      <c r="D14">
        <v>1.6726213999999999</v>
      </c>
      <c r="E14">
        <v>0</v>
      </c>
      <c r="F14">
        <f t="shared" si="0"/>
        <v>372000</v>
      </c>
      <c r="G14">
        <v>134297</v>
      </c>
      <c r="H14">
        <v>237703</v>
      </c>
      <c r="I14">
        <f t="shared" si="1"/>
        <v>7791442</v>
      </c>
      <c r="J14" s="3">
        <f t="shared" si="2"/>
        <v>1880558</v>
      </c>
      <c r="K14" s="3">
        <f t="shared" si="3"/>
        <v>9672000</v>
      </c>
      <c r="L14" s="3">
        <v>0</v>
      </c>
    </row>
    <row r="15" spans="1:15" x14ac:dyDescent="0.45">
      <c r="A15" t="s">
        <v>14</v>
      </c>
      <c r="B15">
        <v>11</v>
      </c>
      <c r="C15" s="5">
        <v>46300</v>
      </c>
      <c r="D15">
        <v>1.6726213999999999</v>
      </c>
      <c r="E15">
        <v>0</v>
      </c>
      <c r="F15">
        <f t="shared" si="0"/>
        <v>372000</v>
      </c>
      <c r="G15">
        <v>130321</v>
      </c>
      <c r="H15">
        <v>241679</v>
      </c>
      <c r="I15">
        <f t="shared" si="1"/>
        <v>7549763</v>
      </c>
      <c r="J15" s="3">
        <f t="shared" si="2"/>
        <v>1750237</v>
      </c>
      <c r="K15" s="3">
        <f t="shared" si="3"/>
        <v>9300000</v>
      </c>
      <c r="L15" s="3">
        <v>0</v>
      </c>
    </row>
    <row r="16" spans="1:15" x14ac:dyDescent="0.45">
      <c r="A16" t="s">
        <v>14</v>
      </c>
      <c r="B16">
        <v>12</v>
      </c>
      <c r="C16" s="5">
        <v>46331</v>
      </c>
      <c r="D16">
        <v>1.6726213999999999</v>
      </c>
      <c r="E16">
        <v>0</v>
      </c>
      <c r="F16">
        <f t="shared" si="0"/>
        <v>372000</v>
      </c>
      <c r="G16">
        <v>126279</v>
      </c>
      <c r="H16">
        <v>245721</v>
      </c>
      <c r="I16">
        <f t="shared" si="1"/>
        <v>7304042</v>
      </c>
      <c r="J16" s="3">
        <f t="shared" si="2"/>
        <v>1623958</v>
      </c>
      <c r="K16" s="3">
        <f t="shared" si="3"/>
        <v>8928000</v>
      </c>
      <c r="L16" s="3">
        <v>0</v>
      </c>
    </row>
    <row r="17" spans="1:12" x14ac:dyDescent="0.45">
      <c r="A17" t="s">
        <v>14</v>
      </c>
      <c r="B17">
        <v>13</v>
      </c>
      <c r="C17" s="5">
        <v>46361</v>
      </c>
      <c r="D17">
        <v>1.6726213999999999</v>
      </c>
      <c r="E17">
        <v>0</v>
      </c>
      <c r="F17">
        <f t="shared" si="0"/>
        <v>372000</v>
      </c>
      <c r="G17">
        <v>122169</v>
      </c>
      <c r="H17">
        <v>249831</v>
      </c>
      <c r="I17">
        <f t="shared" si="1"/>
        <v>7054211</v>
      </c>
      <c r="J17" s="3">
        <f t="shared" si="2"/>
        <v>1501789</v>
      </c>
      <c r="K17" s="3">
        <f t="shared" si="3"/>
        <v>8556000</v>
      </c>
      <c r="L17" s="3">
        <v>0</v>
      </c>
    </row>
    <row r="18" spans="1:12" x14ac:dyDescent="0.45">
      <c r="A18" t="s">
        <v>14</v>
      </c>
      <c r="B18">
        <v>14</v>
      </c>
      <c r="C18" s="5">
        <v>46392</v>
      </c>
      <c r="D18">
        <v>1.6726213999999999</v>
      </c>
      <c r="E18">
        <v>0</v>
      </c>
      <c r="F18">
        <f t="shared" si="0"/>
        <v>372000</v>
      </c>
      <c r="G18">
        <v>117990</v>
      </c>
      <c r="H18">
        <v>254010</v>
      </c>
      <c r="I18">
        <f t="shared" si="1"/>
        <v>6800201</v>
      </c>
      <c r="J18" s="3">
        <f t="shared" si="2"/>
        <v>1383799</v>
      </c>
      <c r="K18" s="3">
        <f t="shared" si="3"/>
        <v>8184000</v>
      </c>
      <c r="L18" s="3">
        <v>0</v>
      </c>
    </row>
    <row r="19" spans="1:12" x14ac:dyDescent="0.45">
      <c r="A19" t="s">
        <v>14</v>
      </c>
      <c r="B19">
        <v>15</v>
      </c>
      <c r="C19" s="5">
        <v>46423</v>
      </c>
      <c r="D19">
        <v>1.6726213999999999</v>
      </c>
      <c r="E19">
        <v>0</v>
      </c>
      <c r="F19">
        <f t="shared" si="0"/>
        <v>372000</v>
      </c>
      <c r="G19">
        <v>113742</v>
      </c>
      <c r="H19">
        <v>258258</v>
      </c>
      <c r="I19">
        <f t="shared" si="1"/>
        <v>6541943</v>
      </c>
      <c r="J19" s="3">
        <f t="shared" si="2"/>
        <v>1270057</v>
      </c>
      <c r="K19" s="3">
        <f t="shared" si="3"/>
        <v>7812000</v>
      </c>
      <c r="L19" s="3">
        <v>0</v>
      </c>
    </row>
    <row r="20" spans="1:12" x14ac:dyDescent="0.45">
      <c r="A20" t="s">
        <v>14</v>
      </c>
      <c r="B20">
        <v>16</v>
      </c>
      <c r="C20" s="5">
        <v>46451</v>
      </c>
      <c r="D20">
        <v>1.6726213999999999</v>
      </c>
      <c r="E20">
        <v>0</v>
      </c>
      <c r="F20">
        <f t="shared" si="0"/>
        <v>372000</v>
      </c>
      <c r="G20">
        <v>109422</v>
      </c>
      <c r="H20">
        <v>262578</v>
      </c>
      <c r="I20">
        <f t="shared" si="1"/>
        <v>6279365</v>
      </c>
      <c r="J20" s="3">
        <f t="shared" si="2"/>
        <v>1160635</v>
      </c>
      <c r="K20" s="3">
        <f t="shared" si="3"/>
        <v>7440000</v>
      </c>
      <c r="L20" s="3">
        <v>0</v>
      </c>
    </row>
    <row r="21" spans="1:12" x14ac:dyDescent="0.45">
      <c r="A21" t="s">
        <v>14</v>
      </c>
      <c r="B21">
        <v>17</v>
      </c>
      <c r="C21" s="5">
        <v>46482</v>
      </c>
      <c r="D21">
        <v>1.6726213999999999</v>
      </c>
      <c r="E21">
        <v>0</v>
      </c>
      <c r="F21">
        <f t="shared" si="0"/>
        <v>372000</v>
      </c>
      <c r="G21">
        <v>105030</v>
      </c>
      <c r="H21">
        <v>266970</v>
      </c>
      <c r="I21">
        <f t="shared" si="1"/>
        <v>6012395</v>
      </c>
      <c r="J21" s="3">
        <f t="shared" si="2"/>
        <v>1055605</v>
      </c>
      <c r="K21" s="3">
        <f t="shared" si="3"/>
        <v>7068000</v>
      </c>
      <c r="L21" s="3">
        <v>0</v>
      </c>
    </row>
    <row r="22" spans="1:12" x14ac:dyDescent="0.45">
      <c r="A22" t="s">
        <v>14</v>
      </c>
      <c r="B22">
        <v>18</v>
      </c>
      <c r="C22" s="5">
        <v>46512</v>
      </c>
      <c r="D22">
        <v>1.6726213999999999</v>
      </c>
      <c r="E22">
        <v>0</v>
      </c>
      <c r="F22">
        <f t="shared" si="0"/>
        <v>372000</v>
      </c>
      <c r="G22">
        <v>100565</v>
      </c>
      <c r="H22">
        <v>271435</v>
      </c>
      <c r="I22">
        <f t="shared" si="1"/>
        <v>5740960</v>
      </c>
      <c r="J22" s="3">
        <f t="shared" si="2"/>
        <v>955040</v>
      </c>
      <c r="K22" s="3">
        <f t="shared" si="3"/>
        <v>6696000</v>
      </c>
      <c r="L22" s="3">
        <v>0</v>
      </c>
    </row>
    <row r="23" spans="1:12" x14ac:dyDescent="0.45">
      <c r="A23" t="s">
        <v>14</v>
      </c>
      <c r="B23">
        <v>19</v>
      </c>
      <c r="C23" s="5">
        <v>46543</v>
      </c>
      <c r="D23">
        <v>1.6726213999999999</v>
      </c>
      <c r="E23">
        <v>0</v>
      </c>
      <c r="F23">
        <f t="shared" si="0"/>
        <v>372000</v>
      </c>
      <c r="G23">
        <v>96025</v>
      </c>
      <c r="H23">
        <v>275975</v>
      </c>
      <c r="I23">
        <f t="shared" si="1"/>
        <v>5464985</v>
      </c>
      <c r="J23" s="3">
        <f t="shared" si="2"/>
        <v>859015</v>
      </c>
      <c r="K23" s="3">
        <f t="shared" si="3"/>
        <v>6324000</v>
      </c>
      <c r="L23" s="3">
        <v>0</v>
      </c>
    </row>
    <row r="24" spans="1:12" x14ac:dyDescent="0.45">
      <c r="A24" t="s">
        <v>14</v>
      </c>
      <c r="B24">
        <v>20</v>
      </c>
      <c r="C24" s="5">
        <v>46573</v>
      </c>
      <c r="D24">
        <v>1.6726213999999999</v>
      </c>
      <c r="E24">
        <v>0</v>
      </c>
      <c r="F24">
        <f t="shared" si="0"/>
        <v>372000</v>
      </c>
      <c r="G24">
        <v>91409</v>
      </c>
      <c r="H24">
        <v>280591</v>
      </c>
      <c r="I24">
        <f t="shared" si="1"/>
        <v>5184394</v>
      </c>
      <c r="J24" s="3">
        <f t="shared" si="2"/>
        <v>767606</v>
      </c>
      <c r="K24" s="3">
        <f t="shared" si="3"/>
        <v>5952000</v>
      </c>
      <c r="L24" s="3">
        <v>0</v>
      </c>
    </row>
    <row r="25" spans="1:12" x14ac:dyDescent="0.45">
      <c r="A25" t="s">
        <v>14</v>
      </c>
      <c r="B25">
        <v>21</v>
      </c>
      <c r="C25" s="5">
        <v>46604</v>
      </c>
      <c r="D25">
        <v>1.6726213999999999</v>
      </c>
      <c r="E25">
        <v>0</v>
      </c>
      <c r="F25">
        <f t="shared" si="0"/>
        <v>372000</v>
      </c>
      <c r="G25">
        <v>86715</v>
      </c>
      <c r="H25">
        <v>285285</v>
      </c>
      <c r="I25">
        <f t="shared" si="1"/>
        <v>4899109</v>
      </c>
      <c r="J25" s="3">
        <f t="shared" si="2"/>
        <v>680891</v>
      </c>
      <c r="K25" s="3">
        <f t="shared" si="3"/>
        <v>5580000</v>
      </c>
      <c r="L25" s="3">
        <v>0</v>
      </c>
    </row>
    <row r="26" spans="1:12" x14ac:dyDescent="0.45">
      <c r="A26" t="s">
        <v>14</v>
      </c>
      <c r="B26">
        <v>22</v>
      </c>
      <c r="C26" s="5">
        <v>46635</v>
      </c>
      <c r="D26">
        <v>1.6726213999999999</v>
      </c>
      <c r="E26">
        <v>0</v>
      </c>
      <c r="F26">
        <f t="shared" si="0"/>
        <v>372000</v>
      </c>
      <c r="G26">
        <v>81944</v>
      </c>
      <c r="H26">
        <v>290056</v>
      </c>
      <c r="I26">
        <f t="shared" si="1"/>
        <v>4609053</v>
      </c>
      <c r="J26" s="3">
        <f t="shared" si="2"/>
        <v>598947</v>
      </c>
      <c r="K26" s="3">
        <f t="shared" si="3"/>
        <v>5208000</v>
      </c>
      <c r="L26" s="3">
        <v>0</v>
      </c>
    </row>
    <row r="27" spans="1:12" x14ac:dyDescent="0.45">
      <c r="A27" t="s">
        <v>14</v>
      </c>
      <c r="B27">
        <v>23</v>
      </c>
      <c r="C27" s="5">
        <v>46665</v>
      </c>
      <c r="D27">
        <v>1.6726213999999999</v>
      </c>
      <c r="E27">
        <v>0</v>
      </c>
      <c r="F27">
        <f t="shared" si="0"/>
        <v>372000</v>
      </c>
      <c r="G27">
        <v>77092</v>
      </c>
      <c r="H27">
        <v>294908</v>
      </c>
      <c r="I27">
        <f t="shared" si="1"/>
        <v>4314145</v>
      </c>
      <c r="J27" s="3">
        <f t="shared" si="2"/>
        <v>521855</v>
      </c>
      <c r="K27" s="3">
        <f t="shared" si="3"/>
        <v>4836000</v>
      </c>
      <c r="L27" s="3">
        <v>0</v>
      </c>
    </row>
    <row r="28" spans="1:12" x14ac:dyDescent="0.45">
      <c r="A28" t="s">
        <v>14</v>
      </c>
      <c r="B28">
        <v>24</v>
      </c>
      <c r="C28" s="5">
        <v>46696</v>
      </c>
      <c r="D28">
        <v>1.6726213999999999</v>
      </c>
      <c r="E28">
        <v>0</v>
      </c>
      <c r="F28">
        <f t="shared" si="0"/>
        <v>372000</v>
      </c>
      <c r="G28">
        <v>72159</v>
      </c>
      <c r="H28">
        <v>299841</v>
      </c>
      <c r="I28">
        <f t="shared" si="1"/>
        <v>4014304</v>
      </c>
      <c r="J28" s="3">
        <f t="shared" si="2"/>
        <v>449696</v>
      </c>
      <c r="K28" s="3">
        <f t="shared" si="3"/>
        <v>4464000</v>
      </c>
      <c r="L28" s="3">
        <v>0</v>
      </c>
    </row>
    <row r="29" spans="1:12" x14ac:dyDescent="0.45">
      <c r="A29" t="s">
        <v>14</v>
      </c>
      <c r="B29">
        <v>25</v>
      </c>
      <c r="C29" s="5">
        <v>46726</v>
      </c>
      <c r="D29">
        <v>1.6726213999999999</v>
      </c>
      <c r="E29">
        <v>0</v>
      </c>
      <c r="F29">
        <f t="shared" si="0"/>
        <v>372000</v>
      </c>
      <c r="G29">
        <v>67144</v>
      </c>
      <c r="H29">
        <v>304856</v>
      </c>
      <c r="I29">
        <f t="shared" si="1"/>
        <v>3709448</v>
      </c>
      <c r="J29" s="3">
        <f t="shared" si="2"/>
        <v>382552</v>
      </c>
      <c r="K29" s="3">
        <f t="shared" si="3"/>
        <v>4092000</v>
      </c>
      <c r="L29" s="3">
        <v>0</v>
      </c>
    </row>
    <row r="30" spans="1:12" x14ac:dyDescent="0.45">
      <c r="A30" t="s">
        <v>14</v>
      </c>
      <c r="B30">
        <v>26</v>
      </c>
      <c r="C30" s="5">
        <v>46757</v>
      </c>
      <c r="D30">
        <v>1.6726213999999999</v>
      </c>
      <c r="E30">
        <v>0</v>
      </c>
      <c r="F30">
        <f t="shared" si="0"/>
        <v>372000</v>
      </c>
      <c r="G30">
        <v>62045</v>
      </c>
      <c r="H30">
        <v>309955</v>
      </c>
      <c r="I30">
        <f t="shared" si="1"/>
        <v>3399493</v>
      </c>
      <c r="J30" s="3">
        <f t="shared" si="2"/>
        <v>320507</v>
      </c>
      <c r="K30" s="3">
        <f t="shared" si="3"/>
        <v>3720000</v>
      </c>
      <c r="L30" s="3">
        <v>0</v>
      </c>
    </row>
    <row r="31" spans="1:12" x14ac:dyDescent="0.45">
      <c r="A31" t="s">
        <v>14</v>
      </c>
      <c r="B31">
        <v>27</v>
      </c>
      <c r="C31" s="5">
        <v>46788</v>
      </c>
      <c r="D31">
        <v>1.6726213999999999</v>
      </c>
      <c r="E31">
        <v>0</v>
      </c>
      <c r="F31">
        <f t="shared" si="0"/>
        <v>372000</v>
      </c>
      <c r="G31">
        <v>56861</v>
      </c>
      <c r="H31">
        <v>315139</v>
      </c>
      <c r="I31">
        <f t="shared" si="1"/>
        <v>3084354</v>
      </c>
      <c r="J31" s="3">
        <f t="shared" si="2"/>
        <v>263646</v>
      </c>
      <c r="K31" s="3">
        <f t="shared" si="3"/>
        <v>3348000</v>
      </c>
      <c r="L31" s="3">
        <v>0</v>
      </c>
    </row>
    <row r="32" spans="1:12" x14ac:dyDescent="0.45">
      <c r="A32" t="s">
        <v>14</v>
      </c>
      <c r="B32">
        <v>28</v>
      </c>
      <c r="C32" s="5">
        <v>46817</v>
      </c>
      <c r="D32">
        <v>1.6726213999999999</v>
      </c>
      <c r="E32">
        <v>0</v>
      </c>
      <c r="F32">
        <f t="shared" si="0"/>
        <v>372000</v>
      </c>
      <c r="G32">
        <v>51590</v>
      </c>
      <c r="H32">
        <v>320410</v>
      </c>
      <c r="I32">
        <f t="shared" si="1"/>
        <v>2763944</v>
      </c>
      <c r="J32" s="3">
        <f t="shared" si="2"/>
        <v>212056</v>
      </c>
      <c r="K32" s="3">
        <f t="shared" si="3"/>
        <v>2976000</v>
      </c>
      <c r="L32" s="3">
        <v>0</v>
      </c>
    </row>
    <row r="33" spans="1:12" x14ac:dyDescent="0.45">
      <c r="A33" t="s">
        <v>14</v>
      </c>
      <c r="B33">
        <v>29</v>
      </c>
      <c r="C33" s="5">
        <v>46848</v>
      </c>
      <c r="D33">
        <v>1.6726213999999999</v>
      </c>
      <c r="E33">
        <v>0</v>
      </c>
      <c r="F33">
        <f t="shared" si="0"/>
        <v>372000</v>
      </c>
      <c r="G33">
        <v>46230</v>
      </c>
      <c r="H33">
        <v>325770</v>
      </c>
      <c r="I33">
        <f t="shared" si="1"/>
        <v>2438174</v>
      </c>
      <c r="J33" s="3">
        <f t="shared" si="2"/>
        <v>165826</v>
      </c>
      <c r="K33" s="3">
        <f t="shared" si="3"/>
        <v>2604000</v>
      </c>
      <c r="L33" s="3">
        <v>0</v>
      </c>
    </row>
    <row r="34" spans="1:12" x14ac:dyDescent="0.45">
      <c r="A34" t="s">
        <v>14</v>
      </c>
      <c r="B34">
        <v>30</v>
      </c>
      <c r="C34" s="5">
        <v>46878</v>
      </c>
      <c r="D34">
        <v>1.6726213999999999</v>
      </c>
      <c r="E34">
        <v>0</v>
      </c>
      <c r="F34">
        <f t="shared" si="0"/>
        <v>372000</v>
      </c>
      <c r="G34">
        <v>40781</v>
      </c>
      <c r="H34">
        <v>331219</v>
      </c>
      <c r="I34">
        <f t="shared" si="1"/>
        <v>2106955</v>
      </c>
      <c r="J34" s="3">
        <f t="shared" si="2"/>
        <v>125045</v>
      </c>
      <c r="K34" s="3">
        <f t="shared" si="3"/>
        <v>2232000</v>
      </c>
      <c r="L34" s="3">
        <v>0</v>
      </c>
    </row>
    <row r="35" spans="1:12" x14ac:dyDescent="0.45">
      <c r="A35" t="s">
        <v>14</v>
      </c>
      <c r="B35">
        <v>31</v>
      </c>
      <c r="C35" s="5">
        <v>46909</v>
      </c>
      <c r="D35">
        <v>1.6726213999999999</v>
      </c>
      <c r="E35">
        <v>0</v>
      </c>
      <c r="F35">
        <f t="shared" si="0"/>
        <v>372000</v>
      </c>
      <c r="G35">
        <v>35241</v>
      </c>
      <c r="H35">
        <v>336759</v>
      </c>
      <c r="I35">
        <f t="shared" si="1"/>
        <v>1770196</v>
      </c>
      <c r="J35" s="3">
        <f t="shared" si="2"/>
        <v>89804</v>
      </c>
      <c r="K35" s="3">
        <f t="shared" si="3"/>
        <v>1860000</v>
      </c>
      <c r="L35" s="3">
        <v>0</v>
      </c>
    </row>
    <row r="36" spans="1:12" x14ac:dyDescent="0.45">
      <c r="A36" t="s">
        <v>14</v>
      </c>
      <c r="B36">
        <v>32</v>
      </c>
      <c r="C36" s="5">
        <v>46939</v>
      </c>
      <c r="D36">
        <v>1.6726213999999999</v>
      </c>
      <c r="E36">
        <v>0</v>
      </c>
      <c r="F36">
        <f t="shared" si="0"/>
        <v>372000</v>
      </c>
      <c r="G36">
        <v>29609</v>
      </c>
      <c r="H36">
        <v>342391</v>
      </c>
      <c r="I36">
        <f t="shared" si="1"/>
        <v>1427805</v>
      </c>
      <c r="J36" s="3">
        <f t="shared" si="2"/>
        <v>60195</v>
      </c>
      <c r="K36" s="3">
        <f t="shared" si="3"/>
        <v>1488000</v>
      </c>
      <c r="L36" s="3">
        <v>0</v>
      </c>
    </row>
    <row r="37" spans="1:12" x14ac:dyDescent="0.45">
      <c r="A37" t="s">
        <v>14</v>
      </c>
      <c r="B37">
        <v>33</v>
      </c>
      <c r="C37" s="5">
        <v>46970</v>
      </c>
      <c r="D37">
        <v>1.6726213999999999</v>
      </c>
      <c r="E37">
        <v>0</v>
      </c>
      <c r="F37">
        <f t="shared" si="0"/>
        <v>372000</v>
      </c>
      <c r="G37">
        <v>23882</v>
      </c>
      <c r="H37">
        <v>348118</v>
      </c>
      <c r="I37">
        <f t="shared" si="1"/>
        <v>1079687</v>
      </c>
      <c r="J37" s="3">
        <f t="shared" si="2"/>
        <v>36313</v>
      </c>
      <c r="K37" s="3">
        <f t="shared" si="3"/>
        <v>1116000</v>
      </c>
      <c r="L37" s="3">
        <v>0</v>
      </c>
    </row>
    <row r="38" spans="1:12" x14ac:dyDescent="0.45">
      <c r="A38" t="s">
        <v>14</v>
      </c>
      <c r="B38">
        <v>34</v>
      </c>
      <c r="C38" s="5">
        <v>47001</v>
      </c>
      <c r="D38">
        <v>1.6726213999999999</v>
      </c>
      <c r="E38">
        <v>0</v>
      </c>
      <c r="F38">
        <f t="shared" si="0"/>
        <v>372000</v>
      </c>
      <c r="G38">
        <v>18059</v>
      </c>
      <c r="H38">
        <v>353941</v>
      </c>
      <c r="I38">
        <f t="shared" si="1"/>
        <v>725746</v>
      </c>
      <c r="J38" s="3">
        <f t="shared" si="2"/>
        <v>18254</v>
      </c>
      <c r="K38" s="3">
        <f t="shared" si="3"/>
        <v>744000</v>
      </c>
      <c r="L38" s="3">
        <v>0</v>
      </c>
    </row>
    <row r="39" spans="1:12" x14ac:dyDescent="0.45">
      <c r="A39" t="s">
        <v>14</v>
      </c>
      <c r="B39">
        <v>35</v>
      </c>
      <c r="C39" s="5">
        <v>47031</v>
      </c>
      <c r="D39">
        <v>1.6726213999999999</v>
      </c>
      <c r="E39">
        <v>0</v>
      </c>
      <c r="F39">
        <f t="shared" si="0"/>
        <v>372000</v>
      </c>
      <c r="G39">
        <v>12139</v>
      </c>
      <c r="H39">
        <v>359861</v>
      </c>
      <c r="I39">
        <f t="shared" si="1"/>
        <v>365885</v>
      </c>
      <c r="J39" s="3">
        <f t="shared" si="2"/>
        <v>6115</v>
      </c>
      <c r="K39" s="3">
        <f t="shared" si="3"/>
        <v>372000</v>
      </c>
      <c r="L39" s="3">
        <v>0</v>
      </c>
    </row>
    <row r="40" spans="1:12" x14ac:dyDescent="0.45">
      <c r="A40" t="s">
        <v>14</v>
      </c>
      <c r="B40">
        <v>36</v>
      </c>
      <c r="C40" s="5">
        <v>47062</v>
      </c>
      <c r="D40">
        <v>1.6726213999999999</v>
      </c>
      <c r="E40">
        <v>0</v>
      </c>
      <c r="F40">
        <f t="shared" si="0"/>
        <v>372000</v>
      </c>
      <c r="G40">
        <v>6115</v>
      </c>
      <c r="H40">
        <v>365885</v>
      </c>
      <c r="I40">
        <f t="shared" si="1"/>
        <v>0</v>
      </c>
      <c r="J40" s="3">
        <f t="shared" si="2"/>
        <v>0</v>
      </c>
      <c r="K40" s="3">
        <f t="shared" si="3"/>
        <v>0</v>
      </c>
      <c r="L40" s="3">
        <v>0</v>
      </c>
    </row>
  </sheetData>
  <phoneticPr fontId="1" type="noConversion"/>
  <pageMargins left="0.7" right="0.7" top="0.75" bottom="0.75" header="0.3" footer="0.3"/>
  <pageSetup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 Schedule Irregular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Bintang</dc:creator>
  <cp:lastModifiedBy>intidata Solution</cp:lastModifiedBy>
  <dcterms:created xsi:type="dcterms:W3CDTF">2024-05-29T09:44:47Z</dcterms:created>
  <dcterms:modified xsi:type="dcterms:W3CDTF">2025-11-13T02:05:17Z</dcterms:modified>
</cp:coreProperties>
</file>